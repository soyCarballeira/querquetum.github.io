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68" windowWidth="14808" windowHeight="7956"/>
  </bookViews>
  <sheets>
    <sheet name="Hoja1" sheetId="1" r:id="rId1"/>
    <sheet name="Hoja2" sheetId="2" r:id="rId2"/>
    <sheet name="Hoja3" sheetId="3" r:id="rId3"/>
  </sheets>
  <calcPr calcId="124519"/>
</workbook>
</file>

<file path=xl/calcChain.xml><?xml version="1.0" encoding="utf-8"?>
<calcChain xmlns="http://schemas.openxmlformats.org/spreadsheetml/2006/main">
  <c r="F1" i="1"/>
  <c r="F2" s="1"/>
  <c r="F3"/>
  <c r="H16" l="1"/>
  <c r="I16"/>
  <c r="I15"/>
  <c r="H15"/>
  <c r="I14"/>
  <c r="H14"/>
  <c r="I13"/>
  <c r="H13"/>
  <c r="I12"/>
  <c r="H12"/>
  <c r="I11"/>
  <c r="H11"/>
  <c r="I10"/>
  <c r="A8"/>
  <c r="F16" s="1"/>
  <c r="G14" l="1"/>
  <c r="G16"/>
  <c r="G11"/>
  <c r="F11"/>
  <c r="F14"/>
  <c r="G15"/>
  <c r="G13"/>
  <c r="F12"/>
  <c r="G10"/>
  <c r="G12"/>
  <c r="F13"/>
  <c r="F15"/>
</calcChain>
</file>

<file path=xl/sharedStrings.xml><?xml version="1.0" encoding="utf-8"?>
<sst xmlns="http://schemas.openxmlformats.org/spreadsheetml/2006/main" count="25" uniqueCount="24">
  <si>
    <t>TÍTULO</t>
  </si>
  <si>
    <t>RESUMEN</t>
  </si>
  <si>
    <t>Nº DE PALABRAS OBJETIVO</t>
  </si>
  <si>
    <t>Nº DE PÁGINAS ESTIMADO</t>
  </si>
  <si>
    <t>#</t>
  </si>
  <si>
    <t>HITO</t>
  </si>
  <si>
    <t>DESCRIPCIÓN</t>
  </si>
  <si>
    <t>PÁGINAS</t>
  </si>
  <si>
    <t>PALABRAS</t>
  </si>
  <si>
    <t>Gancho</t>
  </si>
  <si>
    <t>Resolución</t>
  </si>
  <si>
    <t>Punto medio</t>
  </si>
  <si>
    <t>Pinchazo I</t>
  </si>
  <si>
    <t>Giro argumental I</t>
  </si>
  <si>
    <t>Pinchazo II</t>
  </si>
  <si>
    <t>Giro argumental II</t>
  </si>
  <si>
    <t>Momento en el que el protagonista pasa de reaccionar a estímulos externos a actuar.</t>
  </si>
  <si>
    <t>Oposición al final de la historia. Presenta al lector con una pregunta que responder.</t>
  </si>
  <si>
    <t>Algo hace reaccionar al protagonista y le saca de su zona de comfort</t>
  </si>
  <si>
    <t>El protagonista gana la confianza para alcanzar su meta.</t>
  </si>
  <si>
    <t>Aumenta la presión sobre el protagonista dejándole a un paso de la derrota. Momento más oscuro.</t>
  </si>
  <si>
    <t>Culminación del viaje. En oposición al inicio.</t>
  </si>
  <si>
    <t>Aumenta la presión sobre el protagonista. Las fuerzas antagonistas le obligan a seguir reaccionando</t>
  </si>
  <si>
    <t>HECHO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</si>
</sst>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4" tint="0.79998168889431442"/>
      <name val="Georgia"/>
      <family val="1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wrapText="1"/>
      <protection locked="0"/>
    </xf>
    <xf numFmtId="1" fontId="0" fillId="2" borderId="1" xfId="0" applyNumberForma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2" borderId="1" xfId="0" applyFill="1" applyBorder="1" applyAlignment="1" applyProtection="1">
      <alignment vertical="center" wrapText="1"/>
    </xf>
    <xf numFmtId="0" fontId="2" fillId="3" borderId="1" xfId="0" applyFont="1" applyFill="1" applyBorder="1" applyProtection="1"/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/>
    </xf>
    <xf numFmtId="0" fontId="2" fillId="3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/>
    </xf>
    <xf numFmtId="0" fontId="2" fillId="3" borderId="2" xfId="0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view3D>
      <c:rotX val="30"/>
      <c:perspective val="30"/>
    </c:view3D>
    <c:plotArea>
      <c:layout>
        <c:manualLayout>
          <c:layoutTarget val="inner"/>
          <c:xMode val="edge"/>
          <c:yMode val="edge"/>
          <c:x val="9.5541422706777054E-2"/>
          <c:y val="5.6634304207119741E-2"/>
          <c:w val="0.79785904165825439"/>
          <c:h val="0.93570509390209733"/>
        </c:manualLayout>
      </c:layout>
      <c:pie3DChart>
        <c:varyColors val="1"/>
        <c:ser>
          <c:idx val="0"/>
          <c:order val="0"/>
          <c:cat>
            <c:strLit>
              <c:ptCount val="1"/>
              <c:pt idx="0">
                <c:v>Hecho</c:v>
              </c:pt>
            </c:strLit>
          </c:cat>
          <c:val>
            <c:numRef>
              <c:f>Hoja1!$F$1:$F$2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/>
      </c:pie3DChart>
    </c:plotArea>
    <c:legend>
      <c:legendPos val="r"/>
      <c:legendEntry>
        <c:idx val="0"/>
        <c:txPr>
          <a:bodyPr/>
          <a:lstStyle/>
          <a:p>
            <a:pPr rtl="0">
              <a:defRPr baseline="0">
                <a:solidFill>
                  <a:schemeClr val="tx2"/>
                </a:solidFill>
                <a:latin typeface="Garamond" pitchFamily="18" charset="0"/>
              </a:defRPr>
            </a:pPr>
            <a:endParaRPr lang="es-ES"/>
          </a:p>
        </c:txPr>
      </c:legendEntry>
      <c:legendEntry>
        <c:idx val="1"/>
        <c:delete val="1"/>
      </c:legendEntry>
      <c:layout>
        <c:manualLayout>
          <c:xMode val="edge"/>
          <c:yMode val="edge"/>
          <c:x val="0.12872922134733161"/>
          <c:y val="4.5241826567795573E-2"/>
          <c:w val="0.63752110604008905"/>
          <c:h val="0.29119023165582569"/>
        </c:manualLayout>
      </c:layout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</c:chart>
  <c:spPr>
    <a:gradFill rotWithShape="1">
      <a:gsLst>
        <a:gs pos="0">
          <a:schemeClr val="tx2"/>
        </a:gs>
        <a:gs pos="35000">
          <a:srgbClr val="4F81BD">
            <a:tint val="37000"/>
            <a:satMod val="300000"/>
          </a:srgbClr>
        </a:gs>
        <a:gs pos="100000">
          <a:srgbClr val="4F81BD">
            <a:tint val="15000"/>
            <a:satMod val="350000"/>
          </a:srgbClr>
        </a:gs>
      </a:gsLst>
      <a:lin ang="16200000" scaled="1"/>
    </a:gradFill>
    <a:ln w="9525" cap="flat" cmpd="sng" algn="ctr">
      <a:solidFill>
        <a:schemeClr val="accent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4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22860</xdr:rowOff>
    </xdr:from>
    <xdr:to>
      <xdr:col>8</xdr:col>
      <xdr:colOff>579120</xdr:colOff>
      <xdr:row>7</xdr:row>
      <xdr:rowOff>175260</xdr:rowOff>
    </xdr:to>
    <xdr:graphicFrame macro="">
      <xdr:nvGraphicFramePr>
        <xdr:cNvPr id="19" name="18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2876544</xdr:colOff>
      <xdr:row>0</xdr:row>
      <xdr:rowOff>0</xdr:rowOff>
    </xdr:from>
    <xdr:to>
      <xdr:col>7</xdr:col>
      <xdr:colOff>10134</xdr:colOff>
      <xdr:row>7</xdr:row>
      <xdr:rowOff>109725</xdr:rowOff>
    </xdr:to>
    <xdr:pic>
      <xdr:nvPicPr>
        <xdr:cNvPr id="3" name="2 Imagen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7762869" y="0"/>
          <a:ext cx="1229340" cy="154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0</xdr:row>
      <xdr:rowOff>0</xdr:rowOff>
    </xdr:from>
    <xdr:to>
      <xdr:col>6</xdr:col>
      <xdr:colOff>519390</xdr:colOff>
      <xdr:row>8</xdr:row>
      <xdr:rowOff>17700</xdr:rowOff>
    </xdr:to>
    <xdr:pic>
      <xdr:nvPicPr>
        <xdr:cNvPr id="4" name="3 Imagen" hidden="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7829550" y="0"/>
          <a:ext cx="1062315" cy="1656000"/>
        </a:xfrm>
        <a:prstGeom prst="rect">
          <a:avLst/>
        </a:prstGeom>
      </xdr:spPr>
    </xdr:pic>
    <xdr:clientData/>
  </xdr:twoCellAnchor>
  <xdr:twoCellAnchor editAs="oneCell">
    <xdr:from>
      <xdr:col>5</xdr:col>
      <xdr:colOff>133342</xdr:colOff>
      <xdr:row>0</xdr:row>
      <xdr:rowOff>0</xdr:rowOff>
    </xdr:from>
    <xdr:to>
      <xdr:col>6</xdr:col>
      <xdr:colOff>381397</xdr:colOff>
      <xdr:row>8</xdr:row>
      <xdr:rowOff>17700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7896217" y="0"/>
          <a:ext cx="857655" cy="1656000"/>
        </a:xfrm>
        <a:prstGeom prst="rect">
          <a:avLst/>
        </a:prstGeom>
      </xdr:spPr>
    </xdr:pic>
    <xdr:clientData/>
  </xdr:twoCellAnchor>
  <xdr:twoCellAnchor>
    <xdr:from>
      <xdr:col>0</xdr:col>
      <xdr:colOff>425905</xdr:colOff>
      <xdr:row>19</xdr:row>
      <xdr:rowOff>185053</xdr:rowOff>
    </xdr:from>
    <xdr:to>
      <xdr:col>8</xdr:col>
      <xdr:colOff>263980</xdr:colOff>
      <xdr:row>42</xdr:row>
      <xdr:rowOff>61228</xdr:rowOff>
    </xdr:to>
    <xdr:sp macro="" textlink="">
      <xdr:nvSpPr>
        <xdr:cNvPr id="6" name="5 CuadroTexto"/>
        <xdr:cNvSpPr txBox="1"/>
      </xdr:nvSpPr>
      <xdr:spPr>
        <a:xfrm>
          <a:off x="425905" y="7097482"/>
          <a:ext cx="9444718" cy="4257675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>
            <a:spcAft>
              <a:spcPts val="1200"/>
            </a:spcAft>
          </a:pPr>
          <a:r>
            <a:rPr lang="es-ES" sz="1200" b="1" i="0" u="none" strike="noStrike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Instrucciones de uso</a:t>
          </a:r>
          <a:r>
            <a:rPr lang="es-ES" sz="1200" b="1">
              <a:latin typeface="Garamond" panose="02020404030301010803" pitchFamily="18" charset="0"/>
            </a:rPr>
            <a:t> </a:t>
          </a:r>
        </a:p>
        <a:p>
          <a:pPr>
            <a:lnSpc>
              <a:spcPct val="100000"/>
            </a:lnSpc>
            <a:spcAft>
              <a:spcPts val="600"/>
            </a:spcAft>
          </a:pPr>
          <a:r>
            <a:rPr lang="es-ES" sz="1200" b="0" i="0" u="none" strike="noStrike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0.</a:t>
          </a:r>
          <a:r>
            <a:rPr lang="es-ES" sz="1200">
              <a:latin typeface="Garamond" panose="02020404030301010803" pitchFamily="18" charset="0"/>
            </a:rPr>
            <a:t> </a:t>
          </a:r>
          <a:r>
            <a:rPr lang="es-ES" sz="1200" b="0" i="0" u="none" strike="noStrike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La hoja está bloqueada para evitar romper la macro por error. Si necesitas desbloquearla, botón derecho sobre la pestaña "Hoja1".</a:t>
          </a:r>
          <a:r>
            <a:rPr lang="es-ES" sz="1200">
              <a:latin typeface="Garamond" panose="02020404030301010803" pitchFamily="18" charset="0"/>
            </a:rPr>
            <a:t> </a:t>
          </a:r>
        </a:p>
        <a:p>
          <a:pPr>
            <a:lnSpc>
              <a:spcPct val="100000"/>
            </a:lnSpc>
            <a:spcAft>
              <a:spcPts val="600"/>
            </a:spcAft>
          </a:pPr>
          <a:r>
            <a:rPr lang="es-ES" sz="1200" b="0" i="0" u="none" strike="noStrike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1. </a:t>
          </a:r>
          <a:r>
            <a:rPr lang="es-ES" sz="1200">
              <a:latin typeface="Garamond" panose="02020404030301010803" pitchFamily="18" charset="0"/>
            </a:rPr>
            <a:t> </a:t>
          </a:r>
          <a:r>
            <a:rPr lang="es-ES" sz="1200" b="0" i="0" u="none" strike="noStrike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Incluye el título de tu obra y un resumen de una línea en el encabezado.</a:t>
          </a:r>
          <a:r>
            <a:rPr lang="es-ES" sz="1200">
              <a:latin typeface="Garamond" panose="02020404030301010803" pitchFamily="18" charset="0"/>
            </a:rPr>
            <a:t> </a:t>
          </a:r>
        </a:p>
        <a:p>
          <a:pPr>
            <a:lnSpc>
              <a:spcPct val="100000"/>
            </a:lnSpc>
            <a:spcAft>
              <a:spcPts val="600"/>
            </a:spcAft>
          </a:pPr>
          <a:r>
            <a:rPr lang="es-ES" sz="1200" b="0" i="0" u="none" strike="noStrike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2. </a:t>
          </a:r>
          <a:r>
            <a:rPr lang="es-ES" sz="1200">
              <a:latin typeface="Garamond" panose="02020404030301010803" pitchFamily="18" charset="0"/>
            </a:rPr>
            <a:t> </a:t>
          </a:r>
          <a:r>
            <a:rPr lang="es-ES" sz="1200" b="0" i="0" u="none" strike="noStrike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Incluye un nº de palabras objetivo y la plantilla estimará nº de páginas total y entre qué páginas y palabras deberías escribir cada hito.</a:t>
          </a:r>
          <a:r>
            <a:rPr lang="es-ES" sz="1200">
              <a:latin typeface="Garamond" panose="02020404030301010803" pitchFamily="18" charset="0"/>
            </a:rPr>
            <a:t> </a:t>
          </a:r>
        </a:p>
        <a:p>
          <a:pPr>
            <a:lnSpc>
              <a:spcPct val="100000"/>
            </a:lnSpc>
            <a:spcAft>
              <a:spcPts val="600"/>
            </a:spcAft>
          </a:pPr>
          <a:r>
            <a:rPr lang="es-ES" sz="1200" b="0" i="0" u="none" strike="noStrike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3.</a:t>
          </a:r>
          <a:r>
            <a:rPr lang="es-ES" sz="1200">
              <a:latin typeface="Garamond" panose="02020404030301010803" pitchFamily="18" charset="0"/>
            </a:rPr>
            <a:t> </a:t>
          </a:r>
          <a:r>
            <a:rPr lang="es-ES" sz="1200" b="0" i="0" u="none" strike="noStrike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Incluye un breve resumen para cada hito.</a:t>
          </a:r>
          <a:r>
            <a:rPr lang="es-ES" sz="1200">
              <a:latin typeface="Garamond" panose="02020404030301010803" pitchFamily="18" charset="0"/>
            </a:rPr>
            <a:t> </a:t>
          </a:r>
        </a:p>
        <a:p>
          <a:pPr>
            <a:lnSpc>
              <a:spcPct val="100000"/>
            </a:lnSpc>
            <a:spcAft>
              <a:spcPts val="600"/>
            </a:spcAft>
          </a:pPr>
          <a:r>
            <a:rPr lang="es-ES" sz="1200" b="0" i="0" u="none" strike="noStrike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4.</a:t>
          </a:r>
          <a:r>
            <a:rPr lang="es-ES" sz="1200">
              <a:latin typeface="Garamond" panose="02020404030301010803" pitchFamily="18" charset="0"/>
            </a:rPr>
            <a:t> </a:t>
          </a:r>
          <a:r>
            <a:rPr lang="es-ES" sz="1200" b="0" i="0" u="none" strike="noStrike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Puedes imprimir la hoja, pero si usas el archivo, puedes marcar cuando completes cada hito y la plantilla actualizará el gráfico y el avatar de la esquina</a:t>
          </a:r>
          <a:r>
            <a:rPr lang="es-ES" sz="1200">
              <a:latin typeface="Garamond" panose="02020404030301010803" pitchFamily="18" charset="0"/>
            </a:rPr>
            <a:t> </a:t>
          </a:r>
          <a:r>
            <a:rPr lang="es-ES" sz="1200" b="0" i="0" u="none" strike="noStrike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superior derecha</a:t>
          </a:r>
          <a:r>
            <a:rPr lang="es-ES" sz="1200" b="0" i="0" u="none" strike="noStrike" baseline="0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 acorde con tus avances.</a:t>
          </a:r>
          <a:endParaRPr lang="es-ES" sz="1200">
            <a:latin typeface="Garamond" panose="02020404030301010803" pitchFamily="18" charset="0"/>
          </a:endParaRPr>
        </a:p>
        <a:p>
          <a:r>
            <a:rPr lang="es-ES" sz="1200" b="0" i="0" u="none" strike="noStrike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5.</a:t>
          </a:r>
          <a:r>
            <a:rPr lang="es-ES" sz="1200" b="0" i="0" u="none" strike="noStrike" baseline="0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 No te olvides de disfrutar escribiendo.</a:t>
          </a:r>
          <a:endParaRPr lang="es-ES" sz="1200" b="0" i="0" u="none" strike="noStrike">
            <a:solidFill>
              <a:schemeClr val="dk1"/>
            </a:solidFill>
            <a:effectLst/>
            <a:latin typeface="Garamond" panose="02020404030301010803" pitchFamily="18" charset="0"/>
            <a:ea typeface="+mn-ea"/>
            <a:cs typeface="+mn-cs"/>
          </a:endParaRPr>
        </a:p>
        <a:p>
          <a:endParaRPr lang="es-ES" sz="1200" b="0" i="0" u="none" strike="noStrike">
            <a:solidFill>
              <a:schemeClr val="dk1"/>
            </a:solidFill>
            <a:effectLst/>
            <a:latin typeface="Garamond" panose="02020404030301010803" pitchFamily="18" charset="0"/>
            <a:ea typeface="+mn-ea"/>
            <a:cs typeface="+mn-cs"/>
          </a:endParaRPr>
        </a:p>
        <a:p>
          <a:endParaRPr lang="es-ES" sz="1200" b="0" i="0" u="none" strike="noStrike">
            <a:solidFill>
              <a:schemeClr val="dk1"/>
            </a:solidFill>
            <a:effectLst/>
            <a:latin typeface="Garamond" panose="02020404030301010803" pitchFamily="18" charset="0"/>
            <a:ea typeface="+mn-ea"/>
            <a:cs typeface="+mn-cs"/>
          </a:endParaRPr>
        </a:p>
        <a:p>
          <a:pPr>
            <a:spcAft>
              <a:spcPts val="1200"/>
            </a:spcAft>
          </a:pPr>
          <a:r>
            <a:rPr lang="es-ES" sz="1200" b="1" i="0" u="none" strike="noStrike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NOTAS</a:t>
          </a:r>
          <a:endParaRPr lang="es-ES" sz="1200">
            <a:latin typeface="Garamond" panose="02020404030301010803" pitchFamily="18" charset="0"/>
          </a:endParaRPr>
        </a:p>
        <a:p>
          <a:r>
            <a:rPr lang="es-ES" sz="1200" b="0" i="0" u="none" strike="noStrike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He creado esta plantilla por diversión y porque yo la uso. Si quieres modificarla, siéntete libre. Si tienes dibujos que te gusten más y no sabes cómo cambiarlo o tienes cualquier sugerencia, contacta conmigo por twiter en @soyCarballeira o @querquetum.</a:t>
          </a:r>
        </a:p>
        <a:p>
          <a:r>
            <a:rPr lang="es-ES" sz="1200" b="0" i="0" u="none" strike="noStrike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Visita https://querquetum.github.io para más recursos del estilo.</a:t>
          </a:r>
        </a:p>
        <a:p>
          <a:r>
            <a:rPr lang="es-ES" sz="1200" b="0" i="0" u="none" strike="noStrike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Si no conoces la estructura de 7 puntos,</a:t>
          </a:r>
          <a:r>
            <a:rPr lang="es-ES" sz="1200" b="0" i="0" u="none" strike="noStrike" baseline="0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 puedes ver la charla original de Dan Wells en youtube o leer sobre ello en su blog, pero si prefieres manejarte en español, una búsqueda en google te dará resultados enseguida.</a:t>
          </a:r>
          <a:endParaRPr lang="es-ES" sz="1200" b="0" i="0" u="none" strike="noStrike">
            <a:solidFill>
              <a:schemeClr val="dk1"/>
            </a:solidFill>
            <a:effectLst/>
            <a:latin typeface="Garamond" panose="02020404030301010803" pitchFamily="18" charset="0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I16"/>
  <sheetViews>
    <sheetView showGridLines="0" tabSelected="1" view="pageLayout" zoomScale="85" zoomScaleNormal="115" zoomScalePageLayoutView="85" workbookViewId="0">
      <selection activeCell="E11" sqref="E11"/>
    </sheetView>
  </sheetViews>
  <sheetFormatPr baseColWidth="10" defaultColWidth="9.109375" defaultRowHeight="14.4"/>
  <cols>
    <col min="1" max="1" width="9.88671875" style="2" customWidth="1"/>
    <col min="2" max="2" width="3.5546875" style="2" customWidth="1"/>
    <col min="3" max="3" width="16.109375" style="2" customWidth="1"/>
    <col min="4" max="4" width="38.6640625" style="2" customWidth="1"/>
    <col min="5" max="5" width="40.109375" style="2" customWidth="1"/>
    <col min="6" max="9" width="8.5546875" style="1" customWidth="1"/>
    <col min="10" max="16384" width="9.109375" style="2"/>
  </cols>
  <sheetData>
    <row r="1" spans="1:9" ht="16.2" thickBot="1">
      <c r="A1" s="15" t="s">
        <v>0</v>
      </c>
      <c r="B1" s="15"/>
      <c r="C1" s="15"/>
      <c r="D1" s="15"/>
      <c r="E1" s="16"/>
      <c r="F1" s="10">
        <f>COUNTA(A10:A16)</f>
        <v>0</v>
      </c>
      <c r="G1" s="11"/>
      <c r="H1" s="12"/>
      <c r="I1" s="12"/>
    </row>
    <row r="2" spans="1:9" ht="15" thickBot="1">
      <c r="A2" s="17"/>
      <c r="B2" s="17"/>
      <c r="C2" s="17"/>
      <c r="D2" s="17"/>
      <c r="E2" s="17"/>
      <c r="F2" s="11">
        <f>7-F1</f>
        <v>7</v>
      </c>
      <c r="G2" s="11"/>
      <c r="H2" s="12"/>
      <c r="I2" s="12"/>
    </row>
    <row r="3" spans="1:9" ht="16.2" thickBot="1">
      <c r="A3" s="15" t="s">
        <v>1</v>
      </c>
      <c r="B3" s="15"/>
      <c r="C3" s="15"/>
      <c r="D3" s="15"/>
      <c r="E3" s="15"/>
      <c r="F3" s="11">
        <f>COUNTA(A10:A16)/7</f>
        <v>0</v>
      </c>
      <c r="G3" s="11"/>
      <c r="H3" s="12"/>
      <c r="I3" s="12"/>
    </row>
    <row r="4" spans="1:9" ht="15" thickBot="1">
      <c r="A4" s="17"/>
      <c r="B4" s="17"/>
      <c r="C4" s="17"/>
      <c r="D4" s="17"/>
      <c r="E4" s="17"/>
      <c r="F4" s="11"/>
      <c r="G4" s="11"/>
      <c r="H4" s="12"/>
      <c r="I4" s="12"/>
    </row>
    <row r="5" spans="1:9" ht="16.2" thickBot="1">
      <c r="A5" s="15" t="s">
        <v>2</v>
      </c>
      <c r="B5" s="15"/>
      <c r="C5" s="15"/>
      <c r="D5" s="15"/>
      <c r="E5" s="15"/>
      <c r="F5" s="11"/>
      <c r="G5" s="11"/>
      <c r="H5" s="12"/>
      <c r="I5" s="12"/>
    </row>
    <row r="6" spans="1:9" ht="15" thickBot="1">
      <c r="A6" s="17"/>
      <c r="B6" s="17"/>
      <c r="C6" s="17"/>
      <c r="D6" s="17"/>
      <c r="E6" s="17"/>
      <c r="F6" s="11"/>
      <c r="G6" s="11"/>
      <c r="H6" s="12"/>
      <c r="I6" s="12"/>
    </row>
    <row r="7" spans="1:9" ht="16.2" thickBot="1">
      <c r="A7" s="15" t="s">
        <v>3</v>
      </c>
      <c r="B7" s="15"/>
      <c r="C7" s="15"/>
      <c r="D7" s="15"/>
      <c r="E7" s="15"/>
      <c r="F7" s="11"/>
      <c r="G7" s="11"/>
      <c r="H7" s="12"/>
      <c r="I7" s="12"/>
    </row>
    <row r="8" spans="1:9" ht="15" thickBot="1">
      <c r="A8" s="13">
        <f>A6/275</f>
        <v>0</v>
      </c>
      <c r="B8" s="13"/>
      <c r="C8" s="13"/>
      <c r="D8" s="13"/>
      <c r="E8" s="13"/>
      <c r="F8" s="11"/>
      <c r="G8" s="11"/>
      <c r="H8" s="12"/>
      <c r="I8" s="12"/>
    </row>
    <row r="9" spans="1:9" ht="16.2" thickBot="1">
      <c r="A9" s="9" t="s">
        <v>23</v>
      </c>
      <c r="B9" s="9" t="s">
        <v>4</v>
      </c>
      <c r="C9" s="9" t="s">
        <v>5</v>
      </c>
      <c r="D9" s="9" t="s">
        <v>6</v>
      </c>
      <c r="E9" s="9" t="s">
        <v>1</v>
      </c>
      <c r="F9" s="14" t="s">
        <v>7</v>
      </c>
      <c r="G9" s="14"/>
      <c r="H9" s="14" t="s">
        <v>8</v>
      </c>
      <c r="I9" s="14"/>
    </row>
    <row r="10" spans="1:9" ht="50.4" customHeight="1" thickBot="1">
      <c r="A10" s="3"/>
      <c r="B10" s="6">
        <v>1</v>
      </c>
      <c r="C10" s="7" t="s">
        <v>9</v>
      </c>
      <c r="D10" s="8" t="s">
        <v>17</v>
      </c>
      <c r="E10" s="4"/>
      <c r="F10" s="5">
        <v>1</v>
      </c>
      <c r="G10" s="5">
        <f>A8*5%</f>
        <v>0</v>
      </c>
      <c r="H10" s="5">
        <v>1</v>
      </c>
      <c r="I10" s="5">
        <f>A6*5%</f>
        <v>0</v>
      </c>
    </row>
    <row r="11" spans="1:9" ht="50.4" customHeight="1" thickBot="1">
      <c r="A11" s="3"/>
      <c r="B11" s="6">
        <v>2</v>
      </c>
      <c r="C11" s="7" t="s">
        <v>13</v>
      </c>
      <c r="D11" s="8" t="s">
        <v>18</v>
      </c>
      <c r="E11" s="4"/>
      <c r="F11" s="5">
        <f>A8*20%</f>
        <v>0</v>
      </c>
      <c r="G11" s="5">
        <f>A8*30%</f>
        <v>0</v>
      </c>
      <c r="H11" s="5">
        <f>A6*20%</f>
        <v>0</v>
      </c>
      <c r="I11" s="5">
        <f>A6*30%</f>
        <v>0</v>
      </c>
    </row>
    <row r="12" spans="1:9" ht="50.4" customHeight="1" thickBot="1">
      <c r="A12" s="3"/>
      <c r="B12" s="6">
        <v>3</v>
      </c>
      <c r="C12" s="7" t="s">
        <v>12</v>
      </c>
      <c r="D12" s="8" t="s">
        <v>22</v>
      </c>
      <c r="E12" s="4"/>
      <c r="F12" s="5">
        <f>A8*35%</f>
        <v>0</v>
      </c>
      <c r="G12" s="5">
        <f>A8*40%</f>
        <v>0</v>
      </c>
      <c r="H12" s="5">
        <f>A6*35%</f>
        <v>0</v>
      </c>
      <c r="I12" s="5">
        <f>A6*40%</f>
        <v>0</v>
      </c>
    </row>
    <row r="13" spans="1:9" ht="50.4" customHeight="1" thickBot="1">
      <c r="A13" s="3"/>
      <c r="B13" s="6">
        <v>4</v>
      </c>
      <c r="C13" s="7" t="s">
        <v>11</v>
      </c>
      <c r="D13" s="8" t="s">
        <v>16</v>
      </c>
      <c r="E13" s="4"/>
      <c r="F13" s="5">
        <f>A8*40%</f>
        <v>0</v>
      </c>
      <c r="G13" s="5">
        <f>A8*60%</f>
        <v>0</v>
      </c>
      <c r="H13" s="5">
        <f>A6*40%</f>
        <v>0</v>
      </c>
      <c r="I13" s="5">
        <f>A6*60%</f>
        <v>0</v>
      </c>
    </row>
    <row r="14" spans="1:9" ht="50.4" customHeight="1" thickBot="1">
      <c r="A14" s="3"/>
      <c r="B14" s="6">
        <v>5</v>
      </c>
      <c r="C14" s="7" t="s">
        <v>14</v>
      </c>
      <c r="D14" s="8" t="s">
        <v>20</v>
      </c>
      <c r="E14" s="4"/>
      <c r="F14" s="5">
        <f>A8*60%</f>
        <v>0</v>
      </c>
      <c r="G14" s="5">
        <f>A8*65%</f>
        <v>0</v>
      </c>
      <c r="H14" s="5">
        <f>A6*60%</f>
        <v>0</v>
      </c>
      <c r="I14" s="5">
        <f>A6*65%</f>
        <v>0</v>
      </c>
    </row>
    <row r="15" spans="1:9" ht="53.1" customHeight="1" thickBot="1">
      <c r="A15" s="3"/>
      <c r="B15" s="6">
        <v>6</v>
      </c>
      <c r="C15" s="7" t="s">
        <v>15</v>
      </c>
      <c r="D15" s="8" t="s">
        <v>19</v>
      </c>
      <c r="E15" s="4"/>
      <c r="F15" s="5">
        <f>A8*70%</f>
        <v>0</v>
      </c>
      <c r="G15" s="5">
        <f>A8*80%</f>
        <v>0</v>
      </c>
      <c r="H15" s="5">
        <f>A6*70%</f>
        <v>0</v>
      </c>
      <c r="I15" s="5">
        <f>A6*80%</f>
        <v>0</v>
      </c>
    </row>
    <row r="16" spans="1:9" ht="50.4" customHeight="1" thickBot="1">
      <c r="A16" s="3"/>
      <c r="B16" s="6">
        <v>7</v>
      </c>
      <c r="C16" s="7" t="s">
        <v>10</v>
      </c>
      <c r="D16" s="8" t="s">
        <v>21</v>
      </c>
      <c r="E16" s="4"/>
      <c r="F16" s="5">
        <f>A8*90%</f>
        <v>0</v>
      </c>
      <c r="G16" s="5">
        <f>A8</f>
        <v>0</v>
      </c>
      <c r="H16" s="5">
        <f>A6*90%</f>
        <v>0</v>
      </c>
      <c r="I16" s="5">
        <f>A6</f>
        <v>0</v>
      </c>
    </row>
  </sheetData>
  <sheetProtection sheet="1" objects="1" scenarios="1"/>
  <mergeCells count="10">
    <mergeCell ref="A8:E8"/>
    <mergeCell ref="F9:G9"/>
    <mergeCell ref="H9:I9"/>
    <mergeCell ref="A1:E1"/>
    <mergeCell ref="A3:E3"/>
    <mergeCell ref="A5:E5"/>
    <mergeCell ref="A7:E7"/>
    <mergeCell ref="A2:E2"/>
    <mergeCell ref="A4:E4"/>
    <mergeCell ref="A6:E6"/>
  </mergeCells>
  <pageMargins left="0.23622047244094491" right="0.23622047244094491" top="0.74803149606299213" bottom="0.55118110236220474" header="0.31496062992125984" footer="0.31496062992125984"/>
  <pageSetup paperSize="9" orientation="landscape" horizontalDpi="360" verticalDpi="360" r:id="rId1"/>
  <headerFooter>
    <oddHeader>&amp;C&amp;"Garamond,Negrita"&amp;20&amp;K03+000Estructura de 7 puntos de Dan Wells</oddHeader>
    <oddFooter>&amp;C&amp;"Garamond,Normal"Preparado por Mario Carballeira para Querquetum. Para sugerencias, peticiones y dragones, contácta conmigo en Twitter @soyCarballeira</oddFooter>
  </headerFooter>
  <ignoredErrors>
    <ignoredError sqref="F1:F3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workbookViewId="0"/>
  </sheetViews>
  <sheetFormatPr baseColWidth="10" defaultColWidth="9.109375"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ColWidth="9.109375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2018-08-03T16:36:24Z</dcterms:modified>
</cp:coreProperties>
</file>